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OTEL AROMAX\Desktop\"/>
    </mc:Choice>
  </mc:AlternateContent>
  <bookViews>
    <workbookView xWindow="0" yWindow="0" windowWidth="19200" windowHeight="6930"/>
  </bookViews>
  <sheets>
    <sheet name="INVENTARIO" sheetId="1" r:id="rId1"/>
    <sheet name="ENTRADAS Y SALIDAS" sheetId="2" r:id="rId2"/>
  </sheets>
  <externalReferences>
    <externalReference r:id="rId3"/>
  </externalReferences>
  <definedNames>
    <definedName name="PAGOCAJAPRINCIPAL">'[1]PAGOS CAJA PRINCIPAL'!$C$10</definedName>
    <definedName name="PAGOCONTARJETA">'[1]DIINERO CON FACTURA'!$G$15</definedName>
    <definedName name="PAGOCONTRANSFERENCIA">'[1]DIINERO CON FACTURA'!$G$17</definedName>
    <definedName name="PAGOENEFECTIVO">'[1]DIINERO CON FACTURA'!$G$16</definedName>
    <definedName name="PAGOSCAJAMENOR">'[1]PAGOS CAJA MENOR'!$C$16</definedName>
    <definedName name="TOTALSINFACTURA">'[1]DINERO SIN FACTURA'!$C$8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1" l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C8" i="1" l="1"/>
  <c r="C34" i="1"/>
  <c r="C33" i="1"/>
  <c r="C32" i="1"/>
  <c r="C30" i="1"/>
  <c r="C26" i="1"/>
  <c r="C22" i="1"/>
  <c r="C18" i="1"/>
  <c r="C10" i="1" l="1"/>
  <c r="C14" i="1"/>
  <c r="C16" i="1"/>
  <c r="C17" i="1"/>
  <c r="C9" i="1"/>
  <c r="C24" i="1"/>
  <c r="C25" i="1"/>
  <c r="C12" i="1"/>
  <c r="C13" i="1"/>
  <c r="C20" i="1"/>
  <c r="C21" i="1"/>
  <c r="C28" i="1"/>
  <c r="C29" i="1"/>
  <c r="C11" i="1"/>
  <c r="C15" i="1"/>
  <c r="C19" i="1"/>
  <c r="C23" i="1"/>
  <c r="C27" i="1"/>
  <c r="C31" i="1"/>
</calcChain>
</file>

<file path=xl/sharedStrings.xml><?xml version="1.0" encoding="utf-8"?>
<sst xmlns="http://schemas.openxmlformats.org/spreadsheetml/2006/main" count="73" uniqueCount="63">
  <si>
    <t>CODIGO</t>
  </si>
  <si>
    <t>PRODUCTO</t>
  </si>
  <si>
    <t>STOCK</t>
  </si>
  <si>
    <t>ENTRADAS</t>
  </si>
  <si>
    <t>SALIDAS</t>
  </si>
  <si>
    <t>BC</t>
  </si>
  <si>
    <t>CERVEZAS</t>
  </si>
  <si>
    <t>BCA</t>
  </si>
  <si>
    <t>CERVEZA  ARTESANAL</t>
  </si>
  <si>
    <t>BAG</t>
  </si>
  <si>
    <t>AGUA GRANDE</t>
  </si>
  <si>
    <t>BAP</t>
  </si>
  <si>
    <t>AGUA PEQUEÑA</t>
  </si>
  <si>
    <t>BAA</t>
  </si>
  <si>
    <t>AGUA ALOE</t>
  </si>
  <si>
    <t>BJ</t>
  </si>
  <si>
    <t>JUGOS</t>
  </si>
  <si>
    <t>BCC</t>
  </si>
  <si>
    <t>COCA COLA</t>
  </si>
  <si>
    <t>BE</t>
  </si>
  <si>
    <t>ENERGIZANTE</t>
  </si>
  <si>
    <t>BM</t>
  </si>
  <si>
    <t>MANZANA</t>
  </si>
  <si>
    <t>DSCH</t>
  </si>
  <si>
    <t>CHOCOLATINA</t>
  </si>
  <si>
    <t>DSD</t>
  </si>
  <si>
    <t>DORITOS</t>
  </si>
  <si>
    <t>DSC</t>
  </si>
  <si>
    <t>COCOSETTE</t>
  </si>
  <si>
    <t>DSGT</t>
  </si>
  <si>
    <t>GALLETA TOSH</t>
  </si>
  <si>
    <t>DSP</t>
  </si>
  <si>
    <t>PASABOCAS</t>
  </si>
  <si>
    <t>DSSV</t>
  </si>
  <si>
    <t>SALCHICHAS VIENA</t>
  </si>
  <si>
    <t>DSCHI</t>
  </si>
  <si>
    <t>CHICLETS</t>
  </si>
  <si>
    <t>DSL</t>
  </si>
  <si>
    <t>LECHERA</t>
  </si>
  <si>
    <t>DSMS</t>
  </si>
  <si>
    <t>MANI SALADO</t>
  </si>
  <si>
    <t>DSH</t>
  </si>
  <si>
    <t>HALLS</t>
  </si>
  <si>
    <t>APPB</t>
  </si>
  <si>
    <t>PRESTOBARBA</t>
  </si>
  <si>
    <t>APCDD</t>
  </si>
  <si>
    <t>CEPILLO DE DIENTES</t>
  </si>
  <si>
    <t>APCD</t>
  </si>
  <si>
    <t>CREMA DENTAL</t>
  </si>
  <si>
    <t>APS</t>
  </si>
  <si>
    <t>SHAMPOO</t>
  </si>
  <si>
    <t>APA</t>
  </si>
  <si>
    <t>ACONDICIONADOR</t>
  </si>
  <si>
    <t>APD</t>
  </si>
  <si>
    <t>DESODORANTE</t>
  </si>
  <si>
    <t>APP</t>
  </si>
  <si>
    <t>PRESERVATIVO</t>
  </si>
  <si>
    <t>VOLVER A</t>
  </si>
  <si>
    <t>FECHA</t>
  </si>
  <si>
    <t>CANTIDAD</t>
  </si>
  <si>
    <t>INVENTARIO</t>
  </si>
  <si>
    <t>ESPACIO PARA LOGO O ENCABEZADO DE LA EMPRESA</t>
  </si>
  <si>
    <t>ESPACIO PARA LOGO DE LA EMPRESA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</si>
</sst>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0"/>
      <name val="Arial Narrow"/>
      <family val="2"/>
    </font>
    <font>
      <sz val="12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/>
    </xf>
    <xf numFmtId="0" fontId="2" fillId="0" borderId="0" xfId="0" applyFont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5" xfId="0" applyNumberFormat="1" applyFont="1" applyBorder="1" applyProtection="1">
      <protection locked="0"/>
    </xf>
    <xf numFmtId="0" fontId="2" fillId="0" borderId="6" xfId="0" applyNumberFormat="1" applyFont="1" applyBorder="1" applyProtection="1">
      <protection locked="0"/>
    </xf>
    <xf numFmtId="0" fontId="2" fillId="0" borderId="1" xfId="0" applyFont="1" applyBorder="1" applyProtection="1">
      <protection locked="0"/>
    </xf>
    <xf numFmtId="0" fontId="2" fillId="0" borderId="6" xfId="0" applyFont="1" applyBorder="1" applyProtection="1">
      <protection locked="0"/>
    </xf>
    <xf numFmtId="0" fontId="2" fillId="0" borderId="0" xfId="0" applyFont="1" applyProtection="1">
      <protection locked="0"/>
    </xf>
    <xf numFmtId="0" fontId="2" fillId="0" borderId="1" xfId="0" applyFont="1" applyBorder="1"/>
    <xf numFmtId="0" fontId="2" fillId="0" borderId="6" xfId="0" applyFont="1" applyBorder="1"/>
    <xf numFmtId="0" fontId="2" fillId="0" borderId="1" xfId="0" applyNumberFormat="1" applyFont="1" applyBorder="1" applyProtection="1">
      <protection locked="0"/>
    </xf>
    <xf numFmtId="0" fontId="2" fillId="0" borderId="7" xfId="0" applyNumberFormat="1" applyFont="1" applyBorder="1" applyProtection="1">
      <protection locked="0"/>
    </xf>
    <xf numFmtId="0" fontId="2" fillId="0" borderId="8" xfId="0" applyNumberFormat="1" applyFont="1" applyBorder="1" applyProtection="1">
      <protection locked="0"/>
    </xf>
    <xf numFmtId="0" fontId="2" fillId="0" borderId="9" xfId="0" applyFont="1" applyBorder="1"/>
    <xf numFmtId="0" fontId="2" fillId="0" borderId="8" xfId="0" applyFont="1" applyBorder="1"/>
    <xf numFmtId="0" fontId="2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14" fontId="2" fillId="0" borderId="9" xfId="0" applyNumberFormat="1" applyFont="1" applyBorder="1"/>
    <xf numFmtId="14" fontId="2" fillId="0" borderId="1" xfId="0" applyNumberFormat="1" applyFont="1" applyBorder="1"/>
    <xf numFmtId="0" fontId="4" fillId="2" borderId="1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5" fillId="0" borderId="1" xfId="0" applyNumberFormat="1" applyFont="1" applyBorder="1" applyAlignment="1">
      <alignment horizontal="right"/>
    </xf>
    <xf numFmtId="0" fontId="5" fillId="0" borderId="6" xfId="0" applyNumberFormat="1" applyFont="1" applyBorder="1" applyAlignment="1">
      <alignment horizontal="right"/>
    </xf>
    <xf numFmtId="0" fontId="5" fillId="0" borderId="5" xfId="0" applyNumberFormat="1" applyFont="1" applyBorder="1" applyAlignment="1" applyProtection="1">
      <alignment horizontal="left"/>
      <protection locked="0"/>
    </xf>
    <xf numFmtId="0" fontId="5" fillId="0" borderId="6" xfId="0" applyNumberFormat="1" applyFont="1" applyBorder="1" applyAlignment="1" applyProtection="1">
      <alignment horizontal="left"/>
      <protection locked="0"/>
    </xf>
  </cellXfs>
  <cellStyles count="1">
    <cellStyle name="Normal" xfId="0" builtinId="0"/>
  </cellStyles>
  <dxfs count="2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4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4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'ENTRADAS Y SALIDAS'!A8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476250</xdr:colOff>
      <xdr:row>3</xdr:row>
      <xdr:rowOff>123825</xdr:rowOff>
    </xdr:from>
    <xdr:to>
      <xdr:col>9</xdr:col>
      <xdr:colOff>647700</xdr:colOff>
      <xdr:row>5</xdr:row>
      <xdr:rowOff>19050</xdr:rowOff>
    </xdr:to>
    <xdr:sp macro="" textlink="">
      <xdr:nvSpPr>
        <xdr:cNvPr id="3" name="2 CuadroTexto">
          <a:hlinkClick xmlns:r="http://schemas.openxmlformats.org/officeDocument/2006/relationships" r:id="rId1"/>
        </xdr:cNvPr>
        <xdr:cNvSpPr txBox="1"/>
      </xdr:nvSpPr>
      <xdr:spPr>
        <a:xfrm>
          <a:off x="7600950" y="723900"/>
          <a:ext cx="1543050" cy="295275"/>
        </a:xfrm>
        <a:prstGeom prst="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es-ES" sz="1100" b="1">
              <a:solidFill>
                <a:schemeClr val="tx1"/>
              </a:solidFill>
            </a:rPr>
            <a:t>ENTRADA</a:t>
          </a:r>
          <a:r>
            <a:rPr lang="es-ES" sz="1100" b="1" baseline="0">
              <a:solidFill>
                <a:schemeClr val="tx1"/>
              </a:solidFill>
            </a:rPr>
            <a:t>S / SALIDAS</a:t>
          </a:r>
          <a:endParaRPr lang="es-ES" sz="1100" b="1">
            <a:solidFill>
              <a:schemeClr val="tx1"/>
            </a:solidFill>
          </a:endParaRPr>
        </a:p>
      </xdr:txBody>
    </xdr:sp>
    <xdr:clientData fPrintsWithSheet="0"/>
  </xdr:twoCellAnchor>
  <xdr:twoCellAnchor editAs="oneCell">
    <xdr:from>
      <xdr:col>7</xdr:col>
      <xdr:colOff>314325</xdr:colOff>
      <xdr:row>1</xdr:row>
      <xdr:rowOff>28575</xdr:rowOff>
    </xdr:from>
    <xdr:to>
      <xdr:col>9</xdr:col>
      <xdr:colOff>447675</xdr:colOff>
      <xdr:row>2</xdr:row>
      <xdr:rowOff>123825</xdr:rowOff>
    </xdr:to>
    <xdr:sp macro="[0]!ELIMINARARTICULO" textlink="">
      <xdr:nvSpPr>
        <xdr:cNvPr id="4" name="3 CuadroTexto"/>
        <xdr:cNvSpPr txBox="1"/>
      </xdr:nvSpPr>
      <xdr:spPr>
        <a:xfrm>
          <a:off x="7439025" y="228600"/>
          <a:ext cx="1504950" cy="295275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es-ES" sz="1100" b="1">
              <a:solidFill>
                <a:schemeClr val="bg1"/>
              </a:solidFill>
            </a:rPr>
            <a:t>ELIMINAR ARTICULO</a:t>
          </a:r>
        </a:p>
      </xdr:txBody>
    </xdr:sp>
    <xdr:clientData fPrintsWithSheet="0"/>
  </xdr:twoCellAnchor>
  <xdr:twoCellAnchor editAs="oneCell">
    <xdr:from>
      <xdr:col>5</xdr:col>
      <xdr:colOff>209550</xdr:colOff>
      <xdr:row>3</xdr:row>
      <xdr:rowOff>123825</xdr:rowOff>
    </xdr:from>
    <xdr:to>
      <xdr:col>7</xdr:col>
      <xdr:colOff>381000</xdr:colOff>
      <xdr:row>5</xdr:row>
      <xdr:rowOff>19050</xdr:rowOff>
    </xdr:to>
    <xdr:sp macro="[0]!NUEVOARTICULO" textlink="">
      <xdr:nvSpPr>
        <xdr:cNvPr id="6" name="5 CuadroTexto"/>
        <xdr:cNvSpPr txBox="1"/>
      </xdr:nvSpPr>
      <xdr:spPr>
        <a:xfrm>
          <a:off x="5962650" y="723900"/>
          <a:ext cx="1543050" cy="295275"/>
        </a:xfrm>
        <a:prstGeom prst="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es-ES" sz="1100" b="1">
              <a:solidFill>
                <a:schemeClr val="tx1"/>
              </a:solidFill>
            </a:rPr>
            <a:t>NUEVO</a:t>
          </a:r>
          <a:r>
            <a:rPr lang="es-ES" sz="1100" b="1" baseline="0">
              <a:solidFill>
                <a:schemeClr val="tx1"/>
              </a:solidFill>
            </a:rPr>
            <a:t> ARTICULO</a:t>
          </a:r>
          <a:endParaRPr lang="es-ES" sz="1100" b="1">
            <a:solidFill>
              <a:schemeClr val="tx1"/>
            </a:solidFill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1724025</xdr:colOff>
      <xdr:row>0</xdr:row>
      <xdr:rowOff>114300</xdr:rowOff>
    </xdr:from>
    <xdr:to>
      <xdr:col>9</xdr:col>
      <xdr:colOff>19050</xdr:colOff>
      <xdr:row>2</xdr:row>
      <xdr:rowOff>9525</xdr:rowOff>
    </xdr:to>
    <xdr:sp macro="[0]!NUEVASALIDA" textlink="">
      <xdr:nvSpPr>
        <xdr:cNvPr id="4" name="3 CuadroTexto"/>
        <xdr:cNvSpPr txBox="1"/>
      </xdr:nvSpPr>
      <xdr:spPr>
        <a:xfrm>
          <a:off x="8839200" y="114300"/>
          <a:ext cx="1543050" cy="295275"/>
        </a:xfrm>
        <a:prstGeom prst="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es-ES" sz="1100" b="1">
              <a:solidFill>
                <a:schemeClr val="tx1"/>
              </a:solidFill>
            </a:rPr>
            <a:t>NUEVA SALIDA</a:t>
          </a:r>
        </a:p>
      </xdr:txBody>
    </xdr:sp>
    <xdr:clientData fPrintsWithSheet="0"/>
  </xdr:twoCellAnchor>
  <xdr:twoCellAnchor editAs="oneCell">
    <xdr:from>
      <xdr:col>2</xdr:col>
      <xdr:colOff>180975</xdr:colOff>
      <xdr:row>0</xdr:row>
      <xdr:rowOff>104775</xdr:rowOff>
    </xdr:from>
    <xdr:to>
      <xdr:col>2</xdr:col>
      <xdr:colOff>1552575</xdr:colOff>
      <xdr:row>2</xdr:row>
      <xdr:rowOff>0</xdr:rowOff>
    </xdr:to>
    <xdr:sp macro="[0]!ELIMINARENTRADA" textlink="">
      <xdr:nvSpPr>
        <xdr:cNvPr id="5" name="4 CuadroTexto"/>
        <xdr:cNvSpPr txBox="1"/>
      </xdr:nvSpPr>
      <xdr:spPr>
        <a:xfrm>
          <a:off x="1771650" y="104775"/>
          <a:ext cx="1371600" cy="295275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es-ES" sz="1100" b="1">
              <a:solidFill>
                <a:schemeClr val="bg1"/>
              </a:solidFill>
            </a:rPr>
            <a:t>ELIMINAR ENTRADA</a:t>
          </a:r>
        </a:p>
      </xdr:txBody>
    </xdr:sp>
    <xdr:clientData fPrintsWithSheet="0"/>
  </xdr:twoCellAnchor>
  <xdr:twoCellAnchor editAs="oneCell">
    <xdr:from>
      <xdr:col>0</xdr:col>
      <xdr:colOff>114300</xdr:colOff>
      <xdr:row>0</xdr:row>
      <xdr:rowOff>104775</xdr:rowOff>
    </xdr:from>
    <xdr:to>
      <xdr:col>2</xdr:col>
      <xdr:colOff>66675</xdr:colOff>
      <xdr:row>2</xdr:row>
      <xdr:rowOff>0</xdr:rowOff>
    </xdr:to>
    <xdr:sp macro="[0]!NUEVAENTRADA" textlink="">
      <xdr:nvSpPr>
        <xdr:cNvPr id="6" name="5 CuadroTexto"/>
        <xdr:cNvSpPr txBox="1"/>
      </xdr:nvSpPr>
      <xdr:spPr>
        <a:xfrm>
          <a:off x="114300" y="104775"/>
          <a:ext cx="1543050" cy="295275"/>
        </a:xfrm>
        <a:prstGeom prst="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es-ES" sz="1100" b="1">
              <a:solidFill>
                <a:schemeClr val="tx1"/>
              </a:solidFill>
            </a:rPr>
            <a:t>NUEVA ENTRADA</a:t>
          </a:r>
        </a:p>
      </xdr:txBody>
    </xdr:sp>
    <xdr:clientData fPrintsWithSheet="0"/>
  </xdr:twoCellAnchor>
  <xdr:twoCellAnchor editAs="absolute">
    <xdr:from>
      <xdr:col>0</xdr:col>
      <xdr:colOff>161925</xdr:colOff>
      <xdr:row>2</xdr:row>
      <xdr:rowOff>66675</xdr:rowOff>
    </xdr:from>
    <xdr:to>
      <xdr:col>0</xdr:col>
      <xdr:colOff>619125</xdr:colOff>
      <xdr:row>3</xdr:row>
      <xdr:rowOff>152400</xdr:rowOff>
    </xdr:to>
    <xdr:sp macro="" textlink="">
      <xdr:nvSpPr>
        <xdr:cNvPr id="7" name="6 Flecha izquierda">
          <a:hlinkClick xmlns:r="http://schemas.openxmlformats.org/officeDocument/2006/relationships" r:id="rId1"/>
        </xdr:cNvPr>
        <xdr:cNvSpPr/>
      </xdr:nvSpPr>
      <xdr:spPr>
        <a:xfrm>
          <a:off x="161925" y="466725"/>
          <a:ext cx="457200" cy="285750"/>
        </a:xfrm>
        <a:prstGeom prst="leftArrow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PrintsWithSheet="0"/>
  </xdr:twoCellAnchor>
  <xdr:twoCellAnchor editAs="oneCell">
    <xdr:from>
      <xdr:col>7</xdr:col>
      <xdr:colOff>266700</xdr:colOff>
      <xdr:row>0</xdr:row>
      <xdr:rowOff>123825</xdr:rowOff>
    </xdr:from>
    <xdr:to>
      <xdr:col>7</xdr:col>
      <xdr:colOff>1638300</xdr:colOff>
      <xdr:row>2</xdr:row>
      <xdr:rowOff>19050</xdr:rowOff>
    </xdr:to>
    <xdr:sp macro="[0]!ELIMINARSALIDA" textlink="">
      <xdr:nvSpPr>
        <xdr:cNvPr id="8" name="7 CuadroTexto"/>
        <xdr:cNvSpPr txBox="1"/>
      </xdr:nvSpPr>
      <xdr:spPr>
        <a:xfrm>
          <a:off x="7381875" y="123825"/>
          <a:ext cx="1371600" cy="295275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es-ES" sz="1100" b="1">
              <a:solidFill>
                <a:schemeClr val="bg1"/>
              </a:solidFill>
            </a:rPr>
            <a:t>ELIMINAR SALIDA</a:t>
          </a: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ficina/Downloads/BITACORA%20DEL%2009-07-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 PRINCIPAL"/>
      <sheetName val="DIINERO CON FACTURA"/>
      <sheetName val="DINERO SIN FACTURA"/>
      <sheetName val="RESUMEN CAJAS"/>
      <sheetName val="PAGOS CAJA PRINCIPAL"/>
      <sheetName val="PAGOS CAJA MENOR"/>
      <sheetName val="BITÁCORA HOTEL"/>
      <sheetName val="NOVEDADES"/>
      <sheetName val="EN CASA"/>
      <sheetName val="NOVEDADES HABITACIONES"/>
      <sheetName val="SEGUIMIENTO HUESPEDES"/>
      <sheetName val="PRECIOS MINI BAR"/>
      <sheetName val="COMANDAS MINI BAR"/>
      <sheetName val="CHECK LIST HABITACIONES"/>
      <sheetName val="RECIBOS HOTEL"/>
      <sheetName val="RECIBOS LINA"/>
      <sheetName val="AUDITORIA NOCTURNA"/>
      <sheetName val="FONO MEMO"/>
      <sheetName val="AGENDA TURNO"/>
      <sheetName val="INVENTARIO MINI BAR"/>
      <sheetName val="ENTRADAS Y SALIDAS"/>
      <sheetName val="BITACORA DEL 09-07-2017"/>
    </sheetNames>
    <sheetDataSet>
      <sheetData sheetId="0"/>
      <sheetData sheetId="1">
        <row r="15">
          <cell r="G15">
            <v>946850</v>
          </cell>
        </row>
        <row r="16">
          <cell r="G16">
            <v>560860</v>
          </cell>
        </row>
        <row r="17">
          <cell r="G17">
            <v>0</v>
          </cell>
        </row>
      </sheetData>
      <sheetData sheetId="2">
        <row r="8">
          <cell r="C8">
            <v>0</v>
          </cell>
        </row>
      </sheetData>
      <sheetData sheetId="3"/>
      <sheetData sheetId="4">
        <row r="10">
          <cell r="C10">
            <v>155000</v>
          </cell>
        </row>
      </sheetData>
      <sheetData sheetId="5">
        <row r="16">
          <cell r="C16">
            <v>285443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tables/table1.xml><?xml version="1.0" encoding="utf-8"?>
<table xmlns="http://schemas.openxmlformats.org/spreadsheetml/2006/main" id="1" name="MINIBAR" displayName="MINIBAR" ref="A7:E34" totalsRowShown="0" headerRowDxfId="26" headerRowBorderDxfId="25" tableBorderDxfId="24" totalsRowBorderDxfId="23">
  <autoFilter ref="A7:E34"/>
  <tableColumns count="5">
    <tableColumn id="1" name="CODIGO" dataDxfId="22"/>
    <tableColumn id="2" name="PRODUCTO" dataDxfId="21"/>
    <tableColumn id="3" name="STOCK" dataDxfId="20">
      <calculatedColumnFormula>+MINIBAR[[#This Row],[ENTRADAS]]-MINIBAR[[#This Row],[SALIDAS]]</calculatedColumnFormula>
    </tableColumn>
    <tableColumn id="4" name="ENTRADAS" dataDxfId="1">
      <calculatedColumnFormula>SUMIF(ENTRADAS[CODIGO],MINIBAR[[#This Row],[CODIGO]],ENTRADAS[CANTIDAD])</calculatedColumnFormula>
    </tableColumn>
    <tableColumn id="5" name="SALIDAS" dataDxfId="0">
      <calculatedColumnFormula>SUMIF(SALIDAS[CODIGO],MINIBAR[[#This Row],[CODIGO]],SALIDAS[CANTIDAD])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ENTRADAS" displayName="ENTRADAS" ref="A7:D8" totalsRowShown="0" headerRowDxfId="19" dataDxfId="17" headerRowBorderDxfId="18" tableBorderDxfId="16" totalsRowBorderDxfId="15">
  <autoFilter ref="A7:D8"/>
  <tableColumns count="4">
    <tableColumn id="1" name="FECHA" dataDxfId="14"/>
    <tableColumn id="2" name="CODIGO" dataDxfId="13"/>
    <tableColumn id="3" name="PRODUCTO" dataDxfId="12"/>
    <tableColumn id="4" name="CANTIDAD" dataDxfId="11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SALIDAS" displayName="SALIDAS" ref="F7:I8" totalsRowShown="0" headerRowDxfId="10" dataDxfId="8" headerRowBorderDxfId="9" tableBorderDxfId="7" totalsRowBorderDxfId="6">
  <autoFilter ref="F7:I8"/>
  <tableColumns count="4">
    <tableColumn id="1" name="FECHA" dataDxfId="5"/>
    <tableColumn id="2" name="CODIGO" dataDxfId="4"/>
    <tableColumn id="3" name="PRODUCTO" dataDxfId="3"/>
    <tableColumn id="4" name="CANTIDAD" dataDxfId="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L34"/>
  <sheetViews>
    <sheetView tabSelected="1" workbookViewId="0">
      <pane ySplit="7" topLeftCell="A8" activePane="bottomLeft" state="frozen"/>
      <selection activeCell="G12" sqref="G12:H12"/>
      <selection pane="bottomLeft"/>
    </sheetView>
  </sheetViews>
  <sheetFormatPr baseColWidth="10" defaultRowHeight="15.75" x14ac:dyDescent="0.25"/>
  <cols>
    <col min="1" max="1" width="15.83203125" style="3" customWidth="1"/>
    <col min="2" max="2" width="33.33203125" style="3" customWidth="1"/>
    <col min="3" max="3" width="16" style="3" customWidth="1"/>
    <col min="4" max="4" width="18.6640625" style="3" customWidth="1"/>
    <col min="5" max="5" width="16.83203125" style="3" customWidth="1"/>
    <col min="6" max="16384" width="12" style="3"/>
  </cols>
  <sheetData>
    <row r="1" spans="1:12" x14ac:dyDescent="0.25">
      <c r="A1" s="1"/>
      <c r="B1" s="2"/>
      <c r="C1" s="2"/>
      <c r="D1" s="2"/>
      <c r="E1" s="2"/>
      <c r="F1" s="1"/>
      <c r="G1" s="1"/>
      <c r="H1" s="1"/>
      <c r="I1" s="1"/>
      <c r="J1" s="1"/>
      <c r="K1" s="1"/>
      <c r="L1" s="1"/>
    </row>
    <row r="2" spans="1:12" x14ac:dyDescent="0.25">
      <c r="A2" s="1"/>
      <c r="B2" s="2" t="s">
        <v>61</v>
      </c>
      <c r="C2" s="2"/>
      <c r="D2" s="2"/>
      <c r="E2" s="2"/>
      <c r="F2" s="1"/>
      <c r="G2" s="1"/>
      <c r="H2" s="1"/>
      <c r="I2" s="1"/>
      <c r="J2" s="1"/>
      <c r="K2" s="1"/>
      <c r="L2" s="1"/>
    </row>
    <row r="3" spans="1:12" x14ac:dyDescent="0.25">
      <c r="A3" s="1"/>
      <c r="B3" s="2"/>
      <c r="C3" s="2"/>
      <c r="D3" s="2"/>
      <c r="E3" s="2"/>
      <c r="F3" s="1"/>
      <c r="G3" s="1"/>
      <c r="H3" s="1"/>
      <c r="I3" s="1"/>
      <c r="J3" s="1"/>
      <c r="K3" s="1"/>
      <c r="L3" s="1"/>
    </row>
    <row r="4" spans="1:12" x14ac:dyDescent="0.25">
      <c r="A4" s="1"/>
      <c r="B4" s="2"/>
      <c r="C4" s="2"/>
      <c r="D4" s="2"/>
      <c r="E4" s="2"/>
      <c r="F4" s="1"/>
      <c r="G4" s="1"/>
      <c r="H4" s="1"/>
      <c r="I4" s="1"/>
      <c r="J4" s="1"/>
      <c r="K4" s="1"/>
      <c r="L4" s="1"/>
    </row>
    <row r="5" spans="1:12" x14ac:dyDescent="0.25">
      <c r="A5" s="23" t="s">
        <v>60</v>
      </c>
      <c r="B5" s="23"/>
      <c r="C5" s="23"/>
      <c r="D5" s="23"/>
      <c r="E5" s="23"/>
      <c r="F5" s="1"/>
      <c r="G5" s="1"/>
      <c r="H5" s="1"/>
      <c r="I5" s="1"/>
      <c r="J5" s="1"/>
      <c r="K5" s="1"/>
      <c r="L5" s="1"/>
    </row>
    <row r="6" spans="1:12" x14ac:dyDescent="0.25">
      <c r="A6" s="23"/>
      <c r="B6" s="23"/>
      <c r="C6" s="23"/>
      <c r="D6" s="23"/>
      <c r="E6" s="23"/>
      <c r="F6" s="1"/>
      <c r="G6" s="1"/>
      <c r="H6" s="1"/>
      <c r="I6" s="1"/>
      <c r="J6" s="1"/>
      <c r="K6" s="1"/>
      <c r="L6" s="1"/>
    </row>
    <row r="7" spans="1:12" x14ac:dyDescent="0.25">
      <c r="A7" s="4" t="s">
        <v>0</v>
      </c>
      <c r="B7" s="5" t="s">
        <v>1</v>
      </c>
      <c r="C7" s="5" t="s">
        <v>2</v>
      </c>
      <c r="D7" s="5" t="s">
        <v>3</v>
      </c>
      <c r="E7" s="6" t="s">
        <v>4</v>
      </c>
    </row>
    <row r="8" spans="1:12" s="11" customFormat="1" x14ac:dyDescent="0.25">
      <c r="A8" s="27"/>
      <c r="B8" s="28"/>
      <c r="C8" s="25">
        <f>+MINIBAR[[#This Row],[ENTRADAS]]-MINIBAR[[#This Row],[SALIDAS]]</f>
        <v>0</v>
      </c>
      <c r="D8" s="25">
        <f>SUMIF(ENTRADAS[CODIGO],MINIBAR[[#This Row],[CODIGO]],ENTRADAS[CANTIDAD])</f>
        <v>0</v>
      </c>
      <c r="E8" s="26">
        <f>SUMIF(SALIDAS[CODIGO],MINIBAR[[#This Row],[CODIGO]],SALIDAS[CANTIDAD])</f>
        <v>0</v>
      </c>
    </row>
    <row r="9" spans="1:12" s="11" customFormat="1" x14ac:dyDescent="0.25">
      <c r="A9" s="7" t="s">
        <v>5</v>
      </c>
      <c r="B9" s="8" t="s">
        <v>6</v>
      </c>
      <c r="C9" s="9">
        <f>+MINIBAR[[#This Row],[ENTRADAS]]-MINIBAR[[#This Row],[SALIDAS]]</f>
        <v>2</v>
      </c>
      <c r="D9" s="9">
        <f>SUMIF(ENTRADAS[CODIGO],MINIBAR[[#This Row],[CODIGO]],ENTRADAS[CANTIDAD])</f>
        <v>2</v>
      </c>
      <c r="E9" s="10">
        <f>SUMIF(SALIDAS[CODIGO],MINIBAR[[#This Row],[CODIGO]],SALIDAS[CANTIDAD])</f>
        <v>0</v>
      </c>
    </row>
    <row r="10" spans="1:12" x14ac:dyDescent="0.25">
      <c r="A10" s="7" t="s">
        <v>7</v>
      </c>
      <c r="B10" s="8" t="s">
        <v>8</v>
      </c>
      <c r="C10" s="9">
        <f>+MINIBAR[[#This Row],[ENTRADAS]]-MINIBAR[[#This Row],[SALIDAS]]</f>
        <v>0</v>
      </c>
      <c r="D10" s="9">
        <f>SUMIF(ENTRADAS[CODIGO],MINIBAR[[#This Row],[CODIGO]],ENTRADAS[CANTIDAD])</f>
        <v>0</v>
      </c>
      <c r="E10" s="10">
        <f>SUMIF(SALIDAS[CODIGO],MINIBAR[[#This Row],[CODIGO]],SALIDAS[CANTIDAD])</f>
        <v>0</v>
      </c>
    </row>
    <row r="11" spans="1:12" x14ac:dyDescent="0.25">
      <c r="A11" s="7" t="s">
        <v>9</v>
      </c>
      <c r="B11" s="8" t="s">
        <v>10</v>
      </c>
      <c r="C11" s="12">
        <f>+MINIBAR[[#This Row],[ENTRADAS]]-MINIBAR[[#This Row],[SALIDAS]]</f>
        <v>0</v>
      </c>
      <c r="D11" s="12">
        <f>SUMIF(ENTRADAS[CODIGO],MINIBAR[[#This Row],[CODIGO]],ENTRADAS[CANTIDAD])</f>
        <v>0</v>
      </c>
      <c r="E11" s="13">
        <f>SUMIF(SALIDAS[CODIGO],MINIBAR[[#This Row],[CODIGO]],SALIDAS[CANTIDAD])</f>
        <v>0</v>
      </c>
    </row>
    <row r="12" spans="1:12" x14ac:dyDescent="0.25">
      <c r="A12" s="7" t="s">
        <v>11</v>
      </c>
      <c r="B12" s="8" t="s">
        <v>12</v>
      </c>
      <c r="C12" s="12">
        <f>+MINIBAR[[#This Row],[ENTRADAS]]-MINIBAR[[#This Row],[SALIDAS]]</f>
        <v>0</v>
      </c>
      <c r="D12" s="12">
        <f>SUMIF(ENTRADAS[CODIGO],MINIBAR[[#This Row],[CODIGO]],ENTRADAS[CANTIDAD])</f>
        <v>0</v>
      </c>
      <c r="E12" s="13">
        <f>SUMIF(SALIDAS[CODIGO],MINIBAR[[#This Row],[CODIGO]],SALIDAS[CANTIDAD])</f>
        <v>0</v>
      </c>
    </row>
    <row r="13" spans="1:12" x14ac:dyDescent="0.25">
      <c r="A13" s="7" t="s">
        <v>13</v>
      </c>
      <c r="B13" s="8" t="s">
        <v>14</v>
      </c>
      <c r="C13" s="12">
        <f>+MINIBAR[[#This Row],[ENTRADAS]]-MINIBAR[[#This Row],[SALIDAS]]</f>
        <v>0</v>
      </c>
      <c r="D13" s="12">
        <f>SUMIF(ENTRADAS[CODIGO],MINIBAR[[#This Row],[CODIGO]],ENTRADAS[CANTIDAD])</f>
        <v>0</v>
      </c>
      <c r="E13" s="13">
        <f>SUMIF(SALIDAS[CODIGO],MINIBAR[[#This Row],[CODIGO]],SALIDAS[CANTIDAD])</f>
        <v>0</v>
      </c>
    </row>
    <row r="14" spans="1:12" x14ac:dyDescent="0.25">
      <c r="A14" s="7" t="s">
        <v>15</v>
      </c>
      <c r="B14" s="8" t="s">
        <v>16</v>
      </c>
      <c r="C14" s="12">
        <f>+MINIBAR[[#This Row],[ENTRADAS]]-MINIBAR[[#This Row],[SALIDAS]]</f>
        <v>0</v>
      </c>
      <c r="D14" s="12">
        <f>SUMIF(ENTRADAS[CODIGO],MINIBAR[[#This Row],[CODIGO]],ENTRADAS[CANTIDAD])</f>
        <v>0</v>
      </c>
      <c r="E14" s="13">
        <f>SUMIF(SALIDAS[CODIGO],MINIBAR[[#This Row],[CODIGO]],SALIDAS[CANTIDAD])</f>
        <v>0</v>
      </c>
    </row>
    <row r="15" spans="1:12" x14ac:dyDescent="0.25">
      <c r="A15" s="7" t="s">
        <v>17</v>
      </c>
      <c r="B15" s="8" t="s">
        <v>18</v>
      </c>
      <c r="C15" s="12">
        <f>+MINIBAR[[#This Row],[ENTRADAS]]-MINIBAR[[#This Row],[SALIDAS]]</f>
        <v>0</v>
      </c>
      <c r="D15" s="12">
        <f>SUMIF(ENTRADAS[CODIGO],MINIBAR[[#This Row],[CODIGO]],ENTRADAS[CANTIDAD])</f>
        <v>0</v>
      </c>
      <c r="E15" s="13">
        <f>SUMIF(SALIDAS[CODIGO],MINIBAR[[#This Row],[CODIGO]],SALIDAS[CANTIDAD])</f>
        <v>0</v>
      </c>
    </row>
    <row r="16" spans="1:12" x14ac:dyDescent="0.25">
      <c r="A16" s="7" t="s">
        <v>19</v>
      </c>
      <c r="B16" s="8" t="s">
        <v>20</v>
      </c>
      <c r="C16" s="12">
        <f>+MINIBAR[[#This Row],[ENTRADAS]]-MINIBAR[[#This Row],[SALIDAS]]</f>
        <v>0</v>
      </c>
      <c r="D16" s="12">
        <f>SUMIF(ENTRADAS[CODIGO],MINIBAR[[#This Row],[CODIGO]],ENTRADAS[CANTIDAD])</f>
        <v>0</v>
      </c>
      <c r="E16" s="13">
        <f>SUMIF(SALIDAS[CODIGO],MINIBAR[[#This Row],[CODIGO]],SALIDAS[CANTIDAD])</f>
        <v>0</v>
      </c>
    </row>
    <row r="17" spans="1:5" x14ac:dyDescent="0.25">
      <c r="A17" s="7" t="s">
        <v>21</v>
      </c>
      <c r="B17" s="8" t="s">
        <v>22</v>
      </c>
      <c r="C17" s="12">
        <f>+MINIBAR[[#This Row],[ENTRADAS]]-MINIBAR[[#This Row],[SALIDAS]]</f>
        <v>0</v>
      </c>
      <c r="D17" s="12">
        <f>SUMIF(ENTRADAS[CODIGO],MINIBAR[[#This Row],[CODIGO]],ENTRADAS[CANTIDAD])</f>
        <v>0</v>
      </c>
      <c r="E17" s="13">
        <f>SUMIF(SALIDAS[CODIGO],MINIBAR[[#This Row],[CODIGO]],SALIDAS[CANTIDAD])</f>
        <v>0</v>
      </c>
    </row>
    <row r="18" spans="1:5" x14ac:dyDescent="0.25">
      <c r="A18" s="7" t="s">
        <v>23</v>
      </c>
      <c r="B18" s="14" t="s">
        <v>24</v>
      </c>
      <c r="C18" s="12">
        <f>+MINIBAR[[#This Row],[ENTRADAS]]-MINIBAR[[#This Row],[SALIDAS]]</f>
        <v>0</v>
      </c>
      <c r="D18" s="12">
        <f>SUMIF(ENTRADAS[CODIGO],MINIBAR[[#This Row],[CODIGO]],ENTRADAS[CANTIDAD])</f>
        <v>0</v>
      </c>
      <c r="E18" s="13">
        <f>SUMIF(SALIDAS[CODIGO],MINIBAR[[#This Row],[CODIGO]],SALIDAS[CANTIDAD])</f>
        <v>0</v>
      </c>
    </row>
    <row r="19" spans="1:5" x14ac:dyDescent="0.25">
      <c r="A19" s="7" t="s">
        <v>25</v>
      </c>
      <c r="B19" s="14" t="s">
        <v>26</v>
      </c>
      <c r="C19" s="12">
        <f>+MINIBAR[[#This Row],[ENTRADAS]]-MINIBAR[[#This Row],[SALIDAS]]</f>
        <v>0</v>
      </c>
      <c r="D19" s="12">
        <f>SUMIF(ENTRADAS[CODIGO],MINIBAR[[#This Row],[CODIGO]],ENTRADAS[CANTIDAD])</f>
        <v>0</v>
      </c>
      <c r="E19" s="13">
        <f>SUMIF(SALIDAS[CODIGO],MINIBAR[[#This Row],[CODIGO]],SALIDAS[CANTIDAD])</f>
        <v>0</v>
      </c>
    </row>
    <row r="20" spans="1:5" x14ac:dyDescent="0.25">
      <c r="A20" s="7" t="s">
        <v>27</v>
      </c>
      <c r="B20" s="14" t="s">
        <v>28</v>
      </c>
      <c r="C20" s="12">
        <f>+MINIBAR[[#This Row],[ENTRADAS]]-MINIBAR[[#This Row],[SALIDAS]]</f>
        <v>0</v>
      </c>
      <c r="D20" s="12">
        <f>SUMIF(ENTRADAS[CODIGO],MINIBAR[[#This Row],[CODIGO]],ENTRADAS[CANTIDAD])</f>
        <v>0</v>
      </c>
      <c r="E20" s="13">
        <f>SUMIF(SALIDAS[CODIGO],MINIBAR[[#This Row],[CODIGO]],SALIDAS[CANTIDAD])</f>
        <v>0</v>
      </c>
    </row>
    <row r="21" spans="1:5" x14ac:dyDescent="0.25">
      <c r="A21" s="7" t="s">
        <v>29</v>
      </c>
      <c r="B21" s="14" t="s">
        <v>30</v>
      </c>
      <c r="C21" s="12">
        <f>+MINIBAR[[#This Row],[ENTRADAS]]-MINIBAR[[#This Row],[SALIDAS]]</f>
        <v>0</v>
      </c>
      <c r="D21" s="12">
        <f>SUMIF(ENTRADAS[CODIGO],MINIBAR[[#This Row],[CODIGO]],ENTRADAS[CANTIDAD])</f>
        <v>0</v>
      </c>
      <c r="E21" s="13">
        <f>SUMIF(SALIDAS[CODIGO],MINIBAR[[#This Row],[CODIGO]],SALIDAS[CANTIDAD])</f>
        <v>0</v>
      </c>
    </row>
    <row r="22" spans="1:5" x14ac:dyDescent="0.25">
      <c r="A22" s="7" t="s">
        <v>31</v>
      </c>
      <c r="B22" s="14" t="s">
        <v>32</v>
      </c>
      <c r="C22" s="12">
        <f>+MINIBAR[[#This Row],[ENTRADAS]]-MINIBAR[[#This Row],[SALIDAS]]</f>
        <v>0</v>
      </c>
      <c r="D22" s="12">
        <f>SUMIF(ENTRADAS[CODIGO],MINIBAR[[#This Row],[CODIGO]],ENTRADAS[CANTIDAD])</f>
        <v>0</v>
      </c>
      <c r="E22" s="13">
        <f>SUMIF(SALIDAS[CODIGO],MINIBAR[[#This Row],[CODIGO]],SALIDAS[CANTIDAD])</f>
        <v>0</v>
      </c>
    </row>
    <row r="23" spans="1:5" x14ac:dyDescent="0.25">
      <c r="A23" s="7" t="s">
        <v>33</v>
      </c>
      <c r="B23" s="8" t="s">
        <v>34</v>
      </c>
      <c r="C23" s="12">
        <f>+MINIBAR[[#This Row],[ENTRADAS]]-MINIBAR[[#This Row],[SALIDAS]]</f>
        <v>0</v>
      </c>
      <c r="D23" s="12">
        <f>SUMIF(ENTRADAS[CODIGO],MINIBAR[[#This Row],[CODIGO]],ENTRADAS[CANTIDAD])</f>
        <v>0</v>
      </c>
      <c r="E23" s="13">
        <f>SUMIF(SALIDAS[CODIGO],MINIBAR[[#This Row],[CODIGO]],SALIDAS[CANTIDAD])</f>
        <v>0</v>
      </c>
    </row>
    <row r="24" spans="1:5" x14ac:dyDescent="0.25">
      <c r="A24" s="7" t="s">
        <v>35</v>
      </c>
      <c r="B24" s="8" t="s">
        <v>36</v>
      </c>
      <c r="C24" s="12">
        <f>+MINIBAR[[#This Row],[ENTRADAS]]-MINIBAR[[#This Row],[SALIDAS]]</f>
        <v>0</v>
      </c>
      <c r="D24" s="12">
        <f>SUMIF(ENTRADAS[CODIGO],MINIBAR[[#This Row],[CODIGO]],ENTRADAS[CANTIDAD])</f>
        <v>0</v>
      </c>
      <c r="E24" s="13">
        <f>SUMIF(SALIDAS[CODIGO],MINIBAR[[#This Row],[CODIGO]],SALIDAS[CANTIDAD])</f>
        <v>0</v>
      </c>
    </row>
    <row r="25" spans="1:5" x14ac:dyDescent="0.25">
      <c r="A25" s="7" t="s">
        <v>37</v>
      </c>
      <c r="B25" s="8" t="s">
        <v>38</v>
      </c>
      <c r="C25" s="12">
        <f>+MINIBAR[[#This Row],[ENTRADAS]]-MINIBAR[[#This Row],[SALIDAS]]</f>
        <v>0</v>
      </c>
      <c r="D25" s="12">
        <f>SUMIF(ENTRADAS[CODIGO],MINIBAR[[#This Row],[CODIGO]],ENTRADAS[CANTIDAD])</f>
        <v>0</v>
      </c>
      <c r="E25" s="13">
        <f>SUMIF(SALIDAS[CODIGO],MINIBAR[[#This Row],[CODIGO]],SALIDAS[CANTIDAD])</f>
        <v>0</v>
      </c>
    </row>
    <row r="26" spans="1:5" x14ac:dyDescent="0.25">
      <c r="A26" s="7" t="s">
        <v>39</v>
      </c>
      <c r="B26" s="8" t="s">
        <v>40</v>
      </c>
      <c r="C26" s="12">
        <f>+MINIBAR[[#This Row],[ENTRADAS]]-MINIBAR[[#This Row],[SALIDAS]]</f>
        <v>0</v>
      </c>
      <c r="D26" s="12">
        <f>SUMIF(ENTRADAS[CODIGO],MINIBAR[[#This Row],[CODIGO]],ENTRADAS[CANTIDAD])</f>
        <v>0</v>
      </c>
      <c r="E26" s="13">
        <f>SUMIF(SALIDAS[CODIGO],MINIBAR[[#This Row],[CODIGO]],SALIDAS[CANTIDAD])</f>
        <v>0</v>
      </c>
    </row>
    <row r="27" spans="1:5" x14ac:dyDescent="0.25">
      <c r="A27" s="15" t="s">
        <v>41</v>
      </c>
      <c r="B27" s="16" t="s">
        <v>42</v>
      </c>
      <c r="C27" s="17">
        <f>+MINIBAR[[#This Row],[ENTRADAS]]-MINIBAR[[#This Row],[SALIDAS]]</f>
        <v>0</v>
      </c>
      <c r="D27" s="17">
        <f>SUMIF(ENTRADAS[CODIGO],MINIBAR[[#This Row],[CODIGO]],ENTRADAS[CANTIDAD])</f>
        <v>0</v>
      </c>
      <c r="E27" s="18">
        <f>SUMIF(SALIDAS[CODIGO],MINIBAR[[#This Row],[CODIGO]],SALIDAS[CANTIDAD])</f>
        <v>0</v>
      </c>
    </row>
    <row r="28" spans="1:5" x14ac:dyDescent="0.25">
      <c r="A28" s="15" t="s">
        <v>43</v>
      </c>
      <c r="B28" s="16" t="s">
        <v>44</v>
      </c>
      <c r="C28" s="17">
        <f>+MINIBAR[[#This Row],[ENTRADAS]]-MINIBAR[[#This Row],[SALIDAS]]</f>
        <v>0</v>
      </c>
      <c r="D28" s="17">
        <f>SUMIF(ENTRADAS[CODIGO],MINIBAR[[#This Row],[CODIGO]],ENTRADAS[CANTIDAD])</f>
        <v>0</v>
      </c>
      <c r="E28" s="18">
        <f>SUMIF(SALIDAS[CODIGO],MINIBAR[[#This Row],[CODIGO]],SALIDAS[CANTIDAD])</f>
        <v>0</v>
      </c>
    </row>
    <row r="29" spans="1:5" x14ac:dyDescent="0.25">
      <c r="A29" s="15" t="s">
        <v>45</v>
      </c>
      <c r="B29" s="16" t="s">
        <v>46</v>
      </c>
      <c r="C29" s="17">
        <f>+MINIBAR[[#This Row],[ENTRADAS]]-MINIBAR[[#This Row],[SALIDAS]]</f>
        <v>0</v>
      </c>
      <c r="D29" s="17">
        <f>SUMIF(ENTRADAS[CODIGO],MINIBAR[[#This Row],[CODIGO]],ENTRADAS[CANTIDAD])</f>
        <v>0</v>
      </c>
      <c r="E29" s="18">
        <f>SUMIF(SALIDAS[CODIGO],MINIBAR[[#This Row],[CODIGO]],SALIDAS[CANTIDAD])</f>
        <v>0</v>
      </c>
    </row>
    <row r="30" spans="1:5" x14ac:dyDescent="0.25">
      <c r="A30" s="15" t="s">
        <v>47</v>
      </c>
      <c r="B30" s="16" t="s">
        <v>48</v>
      </c>
      <c r="C30" s="17">
        <f>+MINIBAR[[#This Row],[ENTRADAS]]-MINIBAR[[#This Row],[SALIDAS]]</f>
        <v>0</v>
      </c>
      <c r="D30" s="17">
        <f>SUMIF(ENTRADAS[CODIGO],MINIBAR[[#This Row],[CODIGO]],ENTRADAS[CANTIDAD])</f>
        <v>0</v>
      </c>
      <c r="E30" s="18">
        <f>SUMIF(SALIDAS[CODIGO],MINIBAR[[#This Row],[CODIGO]],SALIDAS[CANTIDAD])</f>
        <v>0</v>
      </c>
    </row>
    <row r="31" spans="1:5" x14ac:dyDescent="0.25">
      <c r="A31" s="15" t="s">
        <v>49</v>
      </c>
      <c r="B31" s="16" t="s">
        <v>50</v>
      </c>
      <c r="C31" s="17">
        <f>+MINIBAR[[#This Row],[ENTRADAS]]-MINIBAR[[#This Row],[SALIDAS]]</f>
        <v>0</v>
      </c>
      <c r="D31" s="17">
        <f>SUMIF(ENTRADAS[CODIGO],MINIBAR[[#This Row],[CODIGO]],ENTRADAS[CANTIDAD])</f>
        <v>0</v>
      </c>
      <c r="E31" s="18">
        <f>SUMIF(SALIDAS[CODIGO],MINIBAR[[#This Row],[CODIGO]],SALIDAS[CANTIDAD])</f>
        <v>0</v>
      </c>
    </row>
    <row r="32" spans="1:5" x14ac:dyDescent="0.25">
      <c r="A32" s="15" t="s">
        <v>51</v>
      </c>
      <c r="B32" s="16" t="s">
        <v>52</v>
      </c>
      <c r="C32" s="17">
        <f>+MINIBAR[[#This Row],[ENTRADAS]]-MINIBAR[[#This Row],[SALIDAS]]</f>
        <v>0</v>
      </c>
      <c r="D32" s="17">
        <f>SUMIF(ENTRADAS[CODIGO],MINIBAR[[#This Row],[CODIGO]],ENTRADAS[CANTIDAD])</f>
        <v>0</v>
      </c>
      <c r="E32" s="18">
        <f>SUMIF(SALIDAS[CODIGO],MINIBAR[[#This Row],[CODIGO]],SALIDAS[CANTIDAD])</f>
        <v>0</v>
      </c>
    </row>
    <row r="33" spans="1:5" x14ac:dyDescent="0.25">
      <c r="A33" s="15" t="s">
        <v>53</v>
      </c>
      <c r="B33" s="16" t="s">
        <v>54</v>
      </c>
      <c r="C33" s="17">
        <f>+MINIBAR[[#This Row],[ENTRADAS]]-MINIBAR[[#This Row],[SALIDAS]]</f>
        <v>0</v>
      </c>
      <c r="D33" s="17">
        <f>SUMIF(ENTRADAS[CODIGO],MINIBAR[[#This Row],[CODIGO]],ENTRADAS[CANTIDAD])</f>
        <v>0</v>
      </c>
      <c r="E33" s="18">
        <f>SUMIF(SALIDAS[CODIGO],MINIBAR[[#This Row],[CODIGO]],SALIDAS[CANTIDAD])</f>
        <v>0</v>
      </c>
    </row>
    <row r="34" spans="1:5" x14ac:dyDescent="0.25">
      <c r="A34" s="15" t="s">
        <v>55</v>
      </c>
      <c r="B34" s="16" t="s">
        <v>56</v>
      </c>
      <c r="C34" s="17">
        <f>+MINIBAR[[#This Row],[ENTRADAS]]-MINIBAR[[#This Row],[SALIDAS]]</f>
        <v>0</v>
      </c>
      <c r="D34" s="17">
        <f>SUMIF(ENTRADAS[CODIGO],MINIBAR[[#This Row],[CODIGO]],ENTRADAS[CANTIDAD])</f>
        <v>0</v>
      </c>
      <c r="E34" s="18">
        <f>SUMIF(SALIDAS[CODIGO],MINIBAR[[#This Row],[CODIGO]],SALIDAS[CANTIDAD])</f>
        <v>0</v>
      </c>
    </row>
  </sheetData>
  <sheetProtection selectLockedCells="1"/>
  <mergeCells count="1">
    <mergeCell ref="A5:E6"/>
  </mergeCells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2:I8"/>
  <sheetViews>
    <sheetView zoomScaleNormal="100" workbookViewId="0">
      <selection activeCell="F8" sqref="F8"/>
    </sheetView>
  </sheetViews>
  <sheetFormatPr baseColWidth="10" defaultRowHeight="15.75" x14ac:dyDescent="0.25"/>
  <cols>
    <col min="1" max="1" width="13" style="3" bestFit="1" customWidth="1"/>
    <col min="2" max="2" width="14.83203125" style="3" bestFit="1" customWidth="1"/>
    <col min="3" max="3" width="39.1640625" style="3" customWidth="1"/>
    <col min="4" max="4" width="17.6640625" style="3" bestFit="1" customWidth="1"/>
    <col min="5" max="5" width="12" style="3"/>
    <col min="6" max="6" width="13" style="3" bestFit="1" customWidth="1"/>
    <col min="7" max="7" width="14.83203125" style="3" bestFit="1" customWidth="1"/>
    <col min="8" max="8" width="39.1640625" style="3" customWidth="1"/>
    <col min="9" max="9" width="17.6640625" style="3" bestFit="1" customWidth="1"/>
    <col min="10" max="16384" width="12" style="3"/>
  </cols>
  <sheetData>
    <row r="2" spans="1:9" x14ac:dyDescent="0.25">
      <c r="D2" s="3" t="s">
        <v>62</v>
      </c>
    </row>
    <row r="3" spans="1:9" x14ac:dyDescent="0.25">
      <c r="B3" s="19" t="s">
        <v>57</v>
      </c>
    </row>
    <row r="4" spans="1:9" x14ac:dyDescent="0.25">
      <c r="B4" s="19" t="s">
        <v>60</v>
      </c>
    </row>
    <row r="5" spans="1:9" ht="15.75" customHeight="1" x14ac:dyDescent="0.25">
      <c r="A5" s="23" t="s">
        <v>3</v>
      </c>
      <c r="B5" s="23"/>
      <c r="C5" s="23"/>
      <c r="D5" s="23"/>
      <c r="F5" s="23" t="s">
        <v>4</v>
      </c>
      <c r="G5" s="23"/>
      <c r="H5" s="23"/>
      <c r="I5" s="23"/>
    </row>
    <row r="6" spans="1:9" ht="15.75" customHeight="1" x14ac:dyDescent="0.25">
      <c r="A6" s="24"/>
      <c r="B6" s="24"/>
      <c r="C6" s="24"/>
      <c r="D6" s="24"/>
      <c r="F6" s="23"/>
      <c r="G6" s="23"/>
      <c r="H6" s="23"/>
      <c r="I6" s="23"/>
    </row>
    <row r="7" spans="1:9" x14ac:dyDescent="0.25">
      <c r="A7" s="4" t="s">
        <v>58</v>
      </c>
      <c r="B7" s="4" t="s">
        <v>0</v>
      </c>
      <c r="C7" s="5" t="s">
        <v>1</v>
      </c>
      <c r="D7" s="6" t="s">
        <v>59</v>
      </c>
      <c r="F7" s="20" t="s">
        <v>58</v>
      </c>
      <c r="G7" s="20" t="s">
        <v>0</v>
      </c>
      <c r="H7" s="20" t="s">
        <v>1</v>
      </c>
      <c r="I7" s="20" t="s">
        <v>59</v>
      </c>
    </row>
    <row r="8" spans="1:9" x14ac:dyDescent="0.25">
      <c r="A8" s="21"/>
      <c r="B8" s="17" t="s">
        <v>5</v>
      </c>
      <c r="C8" s="17"/>
      <c r="D8" s="18">
        <v>2</v>
      </c>
      <c r="F8" s="22"/>
      <c r="G8" s="12"/>
      <c r="H8" s="12"/>
      <c r="I8" s="12"/>
    </row>
  </sheetData>
  <mergeCells count="2">
    <mergeCell ref="A5:D6"/>
    <mergeCell ref="F5:I6"/>
  </mergeCells>
  <pageMargins left="0.7" right="0.7" top="0.75" bottom="0.75" header="0.3" footer="0.3"/>
  <pageSetup orientation="portrait" horizontalDpi="4294967294" verticalDpi="0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INVENTARIO</vt:lpstr>
      <vt:lpstr>ENTRADAS Y SALIDAS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Oficina</dc:creator>
  <cp:lastModifiedBy>HOTEL AROMAX</cp:lastModifiedBy>
  <dcterms:created xsi:type="dcterms:W3CDTF">2017-06-17T17:00:33Z</dcterms:created>
  <dcterms:modified xsi:type="dcterms:W3CDTF">2017-06-23T20:23:46Z</dcterms:modified>
</cp:coreProperties>
</file>